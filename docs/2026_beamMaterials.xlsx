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GDRIVE\Documents\Tools\_Supplies\2026_beams\"/>
    </mc:Choice>
  </mc:AlternateContent>
  <xr:revisionPtr revIDLastSave="0" documentId="13_ncr:1_{B918E43A-D7F4-4AAC-8F72-B9B66B5891FE}" xr6:coauthVersionLast="47" xr6:coauthVersionMax="47" xr10:uidLastSave="{00000000-0000-0000-0000-000000000000}"/>
  <bookViews>
    <workbookView xWindow="6525" yWindow="0" windowWidth="22260" windowHeight="16305" activeTab="1" xr2:uid="{00000000-000D-0000-FFFF-FFFF00000000}"/>
  </bookViews>
  <sheets>
    <sheet name="bending" sheetId="1" r:id="rId1"/>
    <sheet name="roundSteel" sheetId="2" r:id="rId2"/>
    <sheet name="Sheet1" sheetId="4" r:id="rId3"/>
    <sheet name="yieldStren" sheetId="3" r:id="rId4"/>
  </sheets>
  <definedNames>
    <definedName name="_xlnm.Print_Area" localSheetId="0">bending!$A$1:$H$72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2" l="1"/>
  <c r="F105" i="2"/>
  <c r="F106" i="2"/>
  <c r="F107" i="2"/>
  <c r="F108" i="2"/>
  <c r="H47" i="2"/>
  <c r="E16" i="1"/>
  <c r="E18" i="1"/>
  <c r="E17" i="1"/>
  <c r="E13" i="1"/>
  <c r="E14" i="1"/>
  <c r="E15" i="1"/>
</calcChain>
</file>

<file path=xl/sharedStrings.xml><?xml version="1.0" encoding="utf-8"?>
<sst xmlns="http://schemas.openxmlformats.org/spreadsheetml/2006/main" count="170" uniqueCount="130">
  <si>
    <t>Created</t>
  </si>
  <si>
    <t>Author</t>
  </si>
  <si>
    <t>David Malawey</t>
  </si>
  <si>
    <t>Updated</t>
  </si>
  <si>
    <t>Beam Strength for aluminum &amp; steel</t>
  </si>
  <si>
    <t>Bending Rigidity</t>
  </si>
  <si>
    <t>Material</t>
  </si>
  <si>
    <t>E</t>
  </si>
  <si>
    <t>I</t>
  </si>
  <si>
    <t>What is the appropriate load limit for each type of beam material?</t>
  </si>
  <si>
    <t>southen yellow kiln-dried pine</t>
  </si>
  <si>
    <t>E (modulus of elasticity)</t>
  </si>
  <si>
    <t>Gigapascals (GPa), GPa</t>
  </si>
  <si>
    <t>I (area moment of inertia)</t>
  </si>
  <si>
    <t>mm^4</t>
  </si>
  <si>
    <t>Units of Measure</t>
  </si>
  <si>
    <t>EI</t>
  </si>
  <si>
    <t>EI(Flexural Rigidity)</t>
  </si>
  <si>
    <t>Nm^2</t>
  </si>
  <si>
    <t>L-critical</t>
  </si>
  <si>
    <t>Steel Strut (axis1)</t>
  </si>
  <si>
    <t>Steel Strut (axis2)</t>
  </si>
  <si>
    <t>L-critical is the length for which a 10kg mass causes 2mm of deflection</t>
  </si>
  <si>
    <t>Aluminum 2020</t>
  </si>
  <si>
    <t>Aluminum 3030</t>
  </si>
  <si>
    <t>Pine 2x4 (axis1)</t>
  </si>
  <si>
    <t>Pine 2x4 (axis2)</t>
  </si>
  <si>
    <t>Materials Notes</t>
  </si>
  <si>
    <t>Pine</t>
  </si>
  <si>
    <t>strut axis 1, 2</t>
  </si>
  <si>
    <t>pine axis 1, 2</t>
  </si>
  <si>
    <t>bending along short profile, long profile</t>
  </si>
  <si>
    <t>Compare the FLEXURAL RIGIDITY: Modulus * Area Moment of Inertia</t>
  </si>
  <si>
    <t>Type</t>
  </si>
  <si>
    <t>1in</t>
  </si>
  <si>
    <t>Trade Size</t>
  </si>
  <si>
    <t>OD measure</t>
  </si>
  <si>
    <t>Round Steel Stock</t>
  </si>
  <si>
    <t>Cost</t>
  </si>
  <si>
    <t>Length</t>
  </si>
  <si>
    <t>specific cost is $ per foot</t>
  </si>
  <si>
    <t>length in feet</t>
  </si>
  <si>
    <t>trade size is shopping keyword</t>
  </si>
  <si>
    <t>1 3/8 in</t>
  </si>
  <si>
    <t>3/4 in</t>
  </si>
  <si>
    <t>EMT 1/2 in</t>
  </si>
  <si>
    <t>1/2in</t>
  </si>
  <si>
    <t>Record key data for common available steel round materials</t>
  </si>
  <si>
    <t>EMT 1 in</t>
  </si>
  <si>
    <t>EMT 3/4 in</t>
  </si>
  <si>
    <t>Fence Rail</t>
  </si>
  <si>
    <t>Structural Pipe</t>
  </si>
  <si>
    <t>Steel Formulation</t>
  </si>
  <si>
    <t>Modulus of Elasticity (E)</t>
  </si>
  <si>
    <t>Typical Yield Strength (S_y)</t>
  </si>
  <si>
    <t>Yield Behavior</t>
  </si>
  <si>
    <t>EMT Conduit</t>
  </si>
  <si>
    <t>Low-Carbon (SAE 1008/1010)</t>
  </si>
  <si>
    <t>29,000,000 psi</t>
  </si>
  <si>
    <t>25,000 - 30,000 psi</t>
  </si>
  <si>
    <t>Yields easily at low applied moments; highly ductile for smooth, tight radii using hand benders.</t>
  </si>
  <si>
    <t>High-Yield Structural (SS40)</t>
  </si>
  <si>
    <t>45,000 - 50,000+ psi</t>
  </si>
  <si>
    <t>Requires a high applied moment to yield; elastic region is extended to prevent permanent sag; more prone to kinking if bent.</t>
  </si>
  <si>
    <t>3/4" Galvanized Pipe (Sch. 40)</t>
  </si>
  <si>
    <t>Standard Carbon (ASTM A53 Grade A/B)</t>
  </si>
  <si>
    <t>30,000 - 35,000 psi</t>
  </si>
  <si>
    <t>High geometric stiffness due to thick walls (0.113 inches); requires mechanical/hydraulic pipe benders or heat to yield smoothly without crushing.</t>
  </si>
  <si>
    <t>Data from Gemini on steel materials in the round pipe types</t>
  </si>
  <si>
    <t>Date</t>
  </si>
  <si>
    <t>Links</t>
  </si>
  <si>
    <t>Threaded Structural Pipe</t>
  </si>
  <si>
    <t>What is the stiffness of these pipes in bending conditions?</t>
  </si>
  <si>
    <t>EI flexural rigidity</t>
  </si>
  <si>
    <t>Rigid Span</t>
  </si>
  <si>
    <t>Rigid Span describes the length of tube that deflects 2mm under simple supports &amp; 10kg center load.</t>
  </si>
  <si>
    <t>Flexural rigidity (EI)</t>
  </si>
  <si>
    <t>Units</t>
  </si>
  <si>
    <t>Column</t>
  </si>
  <si>
    <t>Conduit, 1in</t>
  </si>
  <si>
    <t>Fence Rail, 1 3/8 in</t>
  </si>
  <si>
    <t>Everbilt pn 328913DPTEB</t>
  </si>
  <si>
    <t>Fence rail, swaged end</t>
  </si>
  <si>
    <t>American Metal 5184473</t>
  </si>
  <si>
    <t>Structural Pipe 3/4 in</t>
  </si>
  <si>
    <t xml:space="preserve"> E modulus (GPa)</t>
  </si>
  <si>
    <t>I Moment</t>
  </si>
  <si>
    <t>UTS, Tensile strength (MPa)</t>
  </si>
  <si>
    <t>Fence Top Rail</t>
  </si>
  <si>
    <t>Structural Pipe 3/4in</t>
  </si>
  <si>
    <t>N*m²</t>
  </si>
  <si>
    <t>mm⁴</t>
  </si>
  <si>
    <t>Notes</t>
  </si>
  <si>
    <t>Ultimate Tensile Strength</t>
  </si>
  <si>
    <t>reported low end of the typical range, per standards</t>
  </si>
  <si>
    <t>ASTM A53</t>
  </si>
  <si>
    <t>ASTM A53 Grade B</t>
  </si>
  <si>
    <t>Low-carbon Strip Steel A1008</t>
  </si>
  <si>
    <t>Standard</t>
  </si>
  <si>
    <t>OD Diameter (mm)</t>
  </si>
  <si>
    <t>E, Modulus (GPa)</t>
  </si>
  <si>
    <t>Cost of Materials</t>
  </si>
  <si>
    <t>Typical length in hardware stores and cost</t>
  </si>
  <si>
    <t>Conduit, 3/4in</t>
  </si>
  <si>
    <t>Conduit, 1/2in</t>
  </si>
  <si>
    <t>American Metal 3550010000</t>
  </si>
  <si>
    <t>American Metal 0550110000</t>
  </si>
  <si>
    <t>Material  Characteristics</t>
  </si>
  <si>
    <t>Beam Rigidity</t>
  </si>
  <si>
    <t>Rigid Span (L)</t>
  </si>
  <si>
    <t>m</t>
  </si>
  <si>
    <t>Area Moment of Inertia (I)</t>
  </si>
  <si>
    <t>Material Strength</t>
  </si>
  <si>
    <t>The tensile strength for each steel material &amp; reference standards</t>
  </si>
  <si>
    <t>Notes for above table:</t>
  </si>
  <si>
    <t>ID</t>
  </si>
  <si>
    <t>Wall</t>
  </si>
  <si>
    <t>Cost Per Ft</t>
  </si>
  <si>
    <t>OD (mm)</t>
  </si>
  <si>
    <t>ID (mm)</t>
  </si>
  <si>
    <t>Wall (mm)</t>
  </si>
  <si>
    <t>Fence Rail (16 ga)</t>
  </si>
  <si>
    <t>EMT</t>
  </si>
  <si>
    <t>1 in</t>
  </si>
  <si>
    <t>1/2 in</t>
  </si>
  <si>
    <t>Structural Pipe (Sch 40)</t>
  </si>
  <si>
    <t>Sch 40</t>
  </si>
  <si>
    <t>Fence Rail 17 ga</t>
  </si>
  <si>
    <t>Iron' Pipe 3/4in</t>
  </si>
  <si>
    <t>Southland 10ft Steel Pipe, Galv 10524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</si>
</sst>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rgb="FF7F7F7F"/>
      <name val="Calibri"/>
      <family val="2"/>
      <scheme val="minor"/>
    </font>
    <font>
      <i/>
      <sz val="10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8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5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8" fillId="0" borderId="3" applyNumberFormat="0" applyFill="0" applyAlignment="0" applyProtection="0"/>
    <xf numFmtId="0" fontId="11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44">
    <xf numFmtId="0" fontId="0" fillId="0" borderId="0" xfId="0"/>
    <xf numFmtId="0" fontId="1" fillId="0" borderId="1" xfId="1"/>
    <xf numFmtId="0" fontId="2" fillId="0" borderId="2" xfId="2"/>
    <xf numFmtId="0" fontId="4" fillId="0" borderId="0" xfId="0" applyFont="1" applyAlignment="1">
      <alignment horizontal="right"/>
    </xf>
    <xf numFmtId="0" fontId="5" fillId="0" borderId="0" xfId="3"/>
    <xf numFmtId="0" fontId="0" fillId="0" borderId="0" xfId="0" applyAlignment="1">
      <alignment horizontal="center"/>
    </xf>
    <xf numFmtId="0" fontId="3" fillId="0" borderId="0" xfId="0" applyFont="1"/>
    <xf numFmtId="14" fontId="6" fillId="0" borderId="0" xfId="3" applyNumberFormat="1" applyFont="1"/>
    <xf numFmtId="0" fontId="0" fillId="0" borderId="0" xfId="0" applyAlignment="1">
      <alignment horizontal="right" indent="1"/>
    </xf>
    <xf numFmtId="164" fontId="0" fillId="0" borderId="0" xfId="4" applyNumberFormat="1" applyFont="1" applyFill="1" applyAlignment="1">
      <alignment horizontal="center"/>
    </xf>
    <xf numFmtId="164" fontId="0" fillId="0" borderId="0" xfId="4" applyNumberFormat="1" applyFont="1" applyAlignment="1">
      <alignment horizontal="center"/>
    </xf>
    <xf numFmtId="0" fontId="8" fillId="0" borderId="3" xfId="5"/>
    <xf numFmtId="0" fontId="3" fillId="0" borderId="0" xfId="0" applyFont="1" applyAlignment="1">
      <alignment horizontal="right"/>
    </xf>
    <xf numFmtId="164" fontId="0" fillId="0" borderId="0" xfId="0" applyNumberFormat="1"/>
    <xf numFmtId="0" fontId="5" fillId="0" borderId="0" xfId="3" applyFill="1"/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right"/>
    </xf>
    <xf numFmtId="165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14" fontId="5" fillId="0" borderId="0" xfId="3" applyNumberFormat="1"/>
    <xf numFmtId="0" fontId="9" fillId="0" borderId="4" xfId="0" applyFont="1" applyBorder="1" applyAlignment="1">
      <alignment horizontal="left" vertical="center" wrapText="1" indent="1"/>
    </xf>
    <xf numFmtId="0" fontId="10" fillId="0" borderId="4" xfId="0" applyFont="1" applyBorder="1" applyAlignment="1">
      <alignment horizontal="left" vertical="center" wrapText="1" indent="1"/>
    </xf>
    <xf numFmtId="0" fontId="11" fillId="0" borderId="0" xfId="6"/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2" borderId="0" xfId="0" applyFont="1" applyFill="1"/>
    <xf numFmtId="0" fontId="0" fillId="2" borderId="0" xfId="0" applyFill="1" applyAlignment="1">
      <alignment horizontal="right"/>
    </xf>
    <xf numFmtId="0" fontId="11" fillId="2" borderId="0" xfId="6" applyFill="1"/>
    <xf numFmtId="0" fontId="3" fillId="2" borderId="0" xfId="0" applyFont="1" applyFill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righ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5" fillId="0" borderId="0" xfId="3" applyAlignment="1">
      <alignment horizontal="right"/>
    </xf>
    <xf numFmtId="0" fontId="0" fillId="0" borderId="0" xfId="0" applyFill="1" applyAlignment="1">
      <alignment horizontal="center"/>
    </xf>
    <xf numFmtId="0" fontId="5" fillId="2" borderId="0" xfId="3" applyFill="1"/>
    <xf numFmtId="0" fontId="14" fillId="0" borderId="4" xfId="0" applyFont="1" applyBorder="1" applyAlignment="1">
      <alignment horizontal="left" vertical="center" wrapText="1" indent="1"/>
    </xf>
    <xf numFmtId="0" fontId="13" fillId="0" borderId="4" xfId="0" applyFont="1" applyBorder="1" applyAlignment="1">
      <alignment horizontal="left" vertical="center" wrapText="1" indent="1"/>
    </xf>
    <xf numFmtId="44" fontId="0" fillId="0" borderId="0" xfId="7" applyFont="1" applyAlignment="1">
      <alignment horizontal="center"/>
    </xf>
    <xf numFmtId="0" fontId="12" fillId="0" borderId="0" xfId="0" quotePrefix="1" applyFont="1" applyAlignment="1">
      <alignment horizontal="right" wrapText="1"/>
    </xf>
  </cellXfs>
  <cellStyles count="8">
    <cellStyle name="Comma" xfId="4" builtinId="3"/>
    <cellStyle name="Currency" xfId="7" builtinId="4"/>
    <cellStyle name="Explanatory Text" xfId="3" builtinId="53"/>
    <cellStyle name="Heading 1" xfId="1" builtinId="16"/>
    <cellStyle name="Heading 2" xfId="2" builtinId="17"/>
    <cellStyle name="Heading 3" xfId="5" builtinId="18"/>
    <cellStyle name="Hyperlink" xfId="6" builtinId="8"/>
    <cellStyle name="Normal" xfId="0" builtinId="0"/>
  </cellStyles>
  <dxfs count="29">
    <dxf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vertical="top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vertical="top" textRotation="0" wrapText="1" indent="0" justifyLastLine="0" shrinkToFit="0" readingOrder="0"/>
    </dxf>
    <dxf>
      <numFmt numFmtId="165" formatCode="0.0"/>
    </dxf>
    <dxf>
      <numFmt numFmtId="164" formatCode="_(* #,##0_);_(* \(#,##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top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ysClr val="windowText" lastClr="000000"/>
                </a:solidFill>
              </a:rPr>
              <a:t>Bending Length</a:t>
            </a:r>
            <a:r>
              <a:rPr lang="en-US" b="1">
                <a:solidFill>
                  <a:sysClr val="windowText" lastClr="000000"/>
                </a:solidFill>
              </a:rPr>
              <a:t> for</a:t>
            </a:r>
            <a:r>
              <a:rPr lang="en-US" b="1" baseline="0">
                <a:solidFill>
                  <a:sysClr val="windowText" lastClr="000000"/>
                </a:solidFill>
              </a:rPr>
              <a:t> 2mm Deflection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bending!$B$13</c:f>
              <c:strCache>
                <c:ptCount val="1"/>
                <c:pt idx="0">
                  <c:v>Aluminum 2020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bending!$F$12</c:f>
              <c:strCache>
                <c:ptCount val="1"/>
                <c:pt idx="0">
                  <c:v>L-critical</c:v>
                </c:pt>
              </c:strCache>
            </c:strRef>
          </c:cat>
          <c:val>
            <c:numRef>
              <c:f>bending!$F$13</c:f>
              <c:numCache>
                <c:formatCode>0.0</c:formatCode>
                <c:ptCount val="1"/>
                <c:pt idx="0">
                  <c:v>0.78700000000000003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F-4511-8CCD-674EA644CF69}"/>
            </c:ext>
          </c:extLst>
        </c:ser>
        <c:ser>
          <c:idx val="1"/>
          <c:order val="1"/>
          <c:tx>
            <c:strRef>
              <c:f>bending!$B$14</c:f>
              <c:strCache>
                <c:ptCount val="1"/>
                <c:pt idx="0">
                  <c:v>Aluminum 3030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bending!$F$12</c:f>
              <c:strCache>
                <c:ptCount val="1"/>
                <c:pt idx="0">
                  <c:v>L-critical</c:v>
                </c:pt>
              </c:strCache>
            </c:strRef>
          </c:cat>
          <c:val>
            <c:numRef>
              <c:f>bending!$F$14</c:f>
              <c:numCache>
                <c:formatCode>0.0</c:formatCode>
                <c:ptCount val="1"/>
                <c:pt idx="0">
                  <c:v>1.244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B-4E4E-856F-8929C9ABB80B}"/>
            </c:ext>
          </c:extLst>
        </c:ser>
        <c:ser>
          <c:idx val="2"/>
          <c:order val="2"/>
          <c:tx>
            <c:strRef>
              <c:f>bending!$B$15</c:f>
              <c:strCache>
                <c:ptCount val="1"/>
                <c:pt idx="0">
                  <c:v>Steel Strut (axis1)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bending!$F$12</c:f>
              <c:strCache>
                <c:ptCount val="1"/>
                <c:pt idx="0">
                  <c:v>L-critical</c:v>
                </c:pt>
              </c:strCache>
            </c:strRef>
          </c:cat>
          <c:val>
            <c:numRef>
              <c:f>bending!$F$15</c:f>
              <c:numCache>
                <c:formatCode>0.0</c:formatCode>
                <c:ptCount val="1"/>
                <c:pt idx="0">
                  <c:v>1.069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B-4E4E-856F-8929C9ABB80B}"/>
            </c:ext>
          </c:extLst>
        </c:ser>
        <c:ser>
          <c:idx val="3"/>
          <c:order val="3"/>
          <c:tx>
            <c:strRef>
              <c:f>bending!$B$16</c:f>
              <c:strCache>
                <c:ptCount val="1"/>
                <c:pt idx="0">
                  <c:v>Steel Strut (axis2)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bending!$F$12</c:f>
              <c:strCache>
                <c:ptCount val="1"/>
                <c:pt idx="0">
                  <c:v>L-critical</c:v>
                </c:pt>
              </c:strCache>
            </c:strRef>
          </c:cat>
          <c:val>
            <c:numRef>
              <c:f>bending!$F$16</c:f>
              <c:numCache>
                <c:formatCode>0.0</c:formatCode>
                <c:ptCount val="1"/>
                <c:pt idx="0">
                  <c:v>1.7070000000000001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EB-4E4E-856F-8929C9ABB80B}"/>
            </c:ext>
          </c:extLst>
        </c:ser>
        <c:ser>
          <c:idx val="4"/>
          <c:order val="4"/>
          <c:tx>
            <c:strRef>
              <c:f>bending!$B$17</c:f>
              <c:strCache>
                <c:ptCount val="1"/>
                <c:pt idx="0">
                  <c:v>Pine 2x4 (axis1)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bending!$F$12</c:f>
              <c:strCache>
                <c:ptCount val="1"/>
                <c:pt idx="0">
                  <c:v>L-critical</c:v>
                </c:pt>
              </c:strCache>
            </c:strRef>
          </c:cat>
          <c:val>
            <c:numRef>
              <c:f>bending!$F$17</c:f>
              <c:numCache>
                <c:formatCode>0.0</c:formatCode>
                <c:ptCount val="1"/>
                <c:pt idx="0">
                  <c:v>1.589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EB-4E4E-856F-8929C9ABB80B}"/>
            </c:ext>
          </c:extLst>
        </c:ser>
        <c:ser>
          <c:idx val="5"/>
          <c:order val="5"/>
          <c:tx>
            <c:strRef>
              <c:f>bending!$B$18</c:f>
              <c:strCache>
                <c:ptCount val="1"/>
                <c:pt idx="0">
                  <c:v>Pine 2x4 (axis2)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bending!$F$12</c:f>
              <c:strCache>
                <c:ptCount val="1"/>
                <c:pt idx="0">
                  <c:v>L-critical</c:v>
                </c:pt>
              </c:strCache>
            </c:strRef>
          </c:cat>
          <c:val>
            <c:numRef>
              <c:f>bending!$F$18</c:f>
              <c:numCache>
                <c:formatCode>0.0</c:formatCode>
                <c:ptCount val="1"/>
                <c:pt idx="0">
                  <c:v>2.7949999999999999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EB-4E4E-856F-8929C9ABB8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4"/>
        <c:overlap val="-10"/>
        <c:axId val="841694384"/>
        <c:axId val="841691504"/>
      </c:barChart>
      <c:catAx>
        <c:axId val="84169438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</a:rPr>
                  <a:t>Beam Material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41691504"/>
        <c:crosses val="autoZero"/>
        <c:auto val="1"/>
        <c:lblAlgn val="ctr"/>
        <c:lblOffset val="100"/>
        <c:noMultiLvlLbl val="0"/>
      </c:catAx>
      <c:valAx>
        <c:axId val="84169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non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cap="none" baseline="0">
                    <a:solidFill>
                      <a:sysClr val="windowText" lastClr="000000"/>
                    </a:solidFill>
                  </a:rPr>
                  <a:t>Beam Length (meters)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none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9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Rigid Span </a:t>
            </a:r>
            <a:r>
              <a:rPr lang="en-US" sz="1200">
                <a:solidFill>
                  <a:schemeClr val="tx1">
                    <a:lumMod val="50000"/>
                    <a:lumOff val="50000"/>
                  </a:schemeClr>
                </a:solidFill>
              </a:rPr>
              <a:t>(10Kg load &amp; 2mm deflection)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roundSteel!$I$46</c:f>
              <c:strCache>
                <c:ptCount val="1"/>
                <c:pt idx="0">
                  <c:v>Rigid Span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roundSteel!$C$47:$C$51</c:f>
              <c:strCache>
                <c:ptCount val="5"/>
                <c:pt idx="0">
                  <c:v>Fence Top Rail</c:v>
                </c:pt>
                <c:pt idx="1">
                  <c:v>Iron' Pipe 3/4in</c:v>
                </c:pt>
                <c:pt idx="2">
                  <c:v>EMT 1 in</c:v>
                </c:pt>
                <c:pt idx="3">
                  <c:v>EMT 3/4 in</c:v>
                </c:pt>
                <c:pt idx="4">
                  <c:v>EMT 1/2 in</c:v>
                </c:pt>
              </c:strCache>
            </c:strRef>
          </c:cat>
          <c:val>
            <c:numRef>
              <c:f>roundSteel!$I$47:$I$51</c:f>
              <c:numCache>
                <c:formatCode>General</c:formatCode>
                <c:ptCount val="5"/>
                <c:pt idx="0">
                  <c:v>1.54</c:v>
                </c:pt>
                <c:pt idx="1">
                  <c:v>1.44</c:v>
                </c:pt>
                <c:pt idx="2">
                  <c:v>1.35</c:v>
                </c:pt>
                <c:pt idx="3">
                  <c:v>1.02</c:v>
                </c:pt>
                <c:pt idx="4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3-4442-A3B2-C3E5D8FDEA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392362048"/>
        <c:axId val="1392375968"/>
      </c:barChart>
      <c:catAx>
        <c:axId val="139236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75968"/>
        <c:crosses val="autoZero"/>
        <c:auto val="1"/>
        <c:lblAlgn val="ctr"/>
        <c:lblOffset val="100"/>
        <c:noMultiLvlLbl val="0"/>
      </c:catAx>
      <c:valAx>
        <c:axId val="1392375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6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Material</a:t>
            </a:r>
            <a:r>
              <a:rPr lang="en-US" baseline="0"/>
              <a:t> Cost ($/ft)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roundSteel!$F$103</c:f>
              <c:strCache>
                <c:ptCount val="1"/>
                <c:pt idx="0">
                  <c:v>Cost Per Ft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roundSteel!$C$104:$C$108</c:f>
              <c:strCache>
                <c:ptCount val="5"/>
                <c:pt idx="0">
                  <c:v>Fence Top Rail</c:v>
                </c:pt>
                <c:pt idx="1">
                  <c:v>Structural Pipe 3/4in</c:v>
                </c:pt>
                <c:pt idx="2">
                  <c:v>EMT 1 in</c:v>
                </c:pt>
                <c:pt idx="3">
                  <c:v>EMT 3/4 in</c:v>
                </c:pt>
                <c:pt idx="4">
                  <c:v>EMT 1/2 in</c:v>
                </c:pt>
              </c:strCache>
            </c:strRef>
          </c:cat>
          <c:val>
            <c:numRef>
              <c:f>roundSteel!$F$104:$F$108</c:f>
              <c:numCache>
                <c:formatCode>_("$"* #,##0.00_);_("$"* \(#,##0.00\);_("$"* "-"??_);_(@_)</c:formatCode>
                <c:ptCount val="5"/>
                <c:pt idx="0">
                  <c:v>2.5028571428571431</c:v>
                </c:pt>
                <c:pt idx="1">
                  <c:v>4.41</c:v>
                </c:pt>
                <c:pt idx="2">
                  <c:v>1.798</c:v>
                </c:pt>
                <c:pt idx="3">
                  <c:v>0.998</c:v>
                </c:pt>
                <c:pt idx="4">
                  <c:v>0.58099999999999996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8C-4A8A-96E8-933200E6C31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08858000"/>
        <c:axId val="1705719216"/>
      </c:barChart>
      <c:lineChart>
        <c:grouping val="standard"/>
        <c:varyColors val="0"/>
        <c:ser>
          <c:idx val="0"/>
          <c:order val="1"/>
          <c:tx>
            <c:strRef>
              <c:f>roundSteel!$G$103</c:f>
              <c:strCache>
                <c:ptCount val="1"/>
                <c:pt idx="0">
                  <c:v>Rigid Span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roundSteel!$C$104:$C$108</c:f>
              <c:strCache>
                <c:ptCount val="5"/>
                <c:pt idx="0">
                  <c:v>Fence Top Rail</c:v>
                </c:pt>
                <c:pt idx="1">
                  <c:v>Structural Pipe 3/4in</c:v>
                </c:pt>
                <c:pt idx="2">
                  <c:v>EMT 1 in</c:v>
                </c:pt>
                <c:pt idx="3">
                  <c:v>EMT 3/4 in</c:v>
                </c:pt>
                <c:pt idx="4">
                  <c:v>EMT 1/2 in</c:v>
                </c:pt>
              </c:strCache>
            </c:strRef>
          </c:cat>
          <c:val>
            <c:numRef>
              <c:f>roundSteel!$G$104:$G$108</c:f>
              <c:numCache>
                <c:formatCode>General</c:formatCode>
                <c:ptCount val="5"/>
                <c:pt idx="0">
                  <c:v>1.54</c:v>
                </c:pt>
                <c:pt idx="1">
                  <c:v>1.44</c:v>
                </c:pt>
                <c:pt idx="2">
                  <c:v>1.35</c:v>
                </c:pt>
                <c:pt idx="3">
                  <c:v>1.02</c:v>
                </c:pt>
                <c:pt idx="4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8C-4A8A-96E8-933200E6C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299472"/>
        <c:axId val="1705585296"/>
      </c:lineChart>
      <c:catAx>
        <c:axId val="18088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719216"/>
        <c:crosses val="autoZero"/>
        <c:auto val="1"/>
        <c:lblAlgn val="ctr"/>
        <c:lblOffset val="100"/>
        <c:noMultiLvlLbl val="0"/>
      </c:catAx>
      <c:valAx>
        <c:axId val="1705719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Cost Per Foot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58000"/>
        <c:crosses val="autoZero"/>
        <c:crossBetween val="between"/>
        <c:majorUnit val="1"/>
      </c:valAx>
      <c:valAx>
        <c:axId val="1705585296"/>
        <c:scaling>
          <c:orientation val="minMax"/>
          <c:max val="3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accent1">
                        <a:lumMod val="75000"/>
                      </a:schemeClr>
                    </a:solidFill>
                  </a:rPr>
                  <a:t>Rigid Span (Meters)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299472"/>
        <c:crosses val="max"/>
        <c:crossBetween val="between"/>
        <c:majorUnit val="1"/>
        <c:minorUnit val="0.5"/>
      </c:valAx>
      <c:catAx>
        <c:axId val="1706299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55852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6" Type="http://schemas.openxmlformats.org/officeDocument/2006/relationships/image" Target="../media/image6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30</xdr:row>
      <xdr:rowOff>61912</xdr:rowOff>
    </xdr:from>
    <xdr:to>
      <xdr:col>6</xdr:col>
      <xdr:colOff>157575</xdr:colOff>
      <xdr:row>53</xdr:row>
      <xdr:rowOff>412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4BB9F0D-4D9C-FEFA-33A0-5720453B0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200025</xdr:colOff>
      <xdr:row>54</xdr:row>
      <xdr:rowOff>133350</xdr:rowOff>
    </xdr:from>
    <xdr:to>
      <xdr:col>3</xdr:col>
      <xdr:colOff>104550</xdr:colOff>
      <xdr:row>64</xdr:row>
      <xdr:rowOff>28350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725FAB-2493-3390-5842-643FB19B1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563225"/>
          <a:ext cx="1800000" cy="180000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346364</xdr:colOff>
      <xdr:row>54</xdr:row>
      <xdr:rowOff>138546</xdr:rowOff>
    </xdr:from>
    <xdr:to>
      <xdr:col>5</xdr:col>
      <xdr:colOff>405548</xdr:colOff>
      <xdr:row>64</xdr:row>
      <xdr:rowOff>33546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061160-7F68-0DF0-FB43-CEE507B1C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9182" y="10598728"/>
          <a:ext cx="1791002" cy="180000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22</xdr:row>
      <xdr:rowOff>0</xdr:rowOff>
    </xdr:from>
    <xdr:to>
      <xdr:col>3</xdr:col>
      <xdr:colOff>637950</xdr:colOff>
      <xdr:row>31</xdr:row>
      <xdr:rowOff>85500</xdr:rowOff>
    </xdr:to>
    <xdr:pic>
      <xdr:nvPicPr>
        <xdr:cNvPr id="2" name="Picture 1" descr=" 5184473 1-in x 10.0-ft Silver Metallic EMT Conduit">
          <a:extLst>
            <a:ext uri="{FF2B5EF4-FFF2-40B4-BE49-F238E27FC236}">
              <a16:creationId xmlns:a16="http://schemas.microsoft.com/office/drawing/2014/main" id="{BBFDF130-63A2-0425-6447-ECBAC56E6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4314825"/>
          <a:ext cx="1800000" cy="180000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962025</xdr:colOff>
      <xdr:row>22</xdr:row>
      <xdr:rowOff>9525</xdr:rowOff>
    </xdr:from>
    <xdr:to>
      <xdr:col>6</xdr:col>
      <xdr:colOff>9300</xdr:colOff>
      <xdr:row>31</xdr:row>
      <xdr:rowOff>95025</xdr:rowOff>
    </xdr:to>
    <xdr:pic>
      <xdr:nvPicPr>
        <xdr:cNvPr id="3" name="Picture 2" descr="Merchants Metals 58910235 10-1/2-ft H x 1-3/8-in W 17 -Gauge Galvanized Metal Chain Link Fence Rail">
          <a:extLst>
            <a:ext uri="{FF2B5EF4-FFF2-40B4-BE49-F238E27FC236}">
              <a16:creationId xmlns:a16="http://schemas.microsoft.com/office/drawing/2014/main" id="{2B8F8597-D79B-A9A7-8494-5DFCCA563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4324350"/>
          <a:ext cx="1800000" cy="180000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209550</xdr:colOff>
      <xdr:row>22</xdr:row>
      <xdr:rowOff>9525</xdr:rowOff>
    </xdr:from>
    <xdr:to>
      <xdr:col>8</xdr:col>
      <xdr:colOff>624954</xdr:colOff>
      <xdr:row>31</xdr:row>
      <xdr:rowOff>95025</xdr:rowOff>
    </xdr:to>
    <xdr:pic>
      <xdr:nvPicPr>
        <xdr:cNvPr id="4" name="Picture 3" descr="Southland 10523 3/4-in x 72-in Galvanized Steel Threaded Pipe">
          <a:extLst>
            <a:ext uri="{FF2B5EF4-FFF2-40B4-BE49-F238E27FC236}">
              <a16:creationId xmlns:a16="http://schemas.microsoft.com/office/drawing/2014/main" id="{B06C43A1-5211-3C56-75A6-9A4F1608E5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9" t="34620" r="49665" b="19060"/>
        <a:stretch>
          <a:fillRect/>
        </a:stretch>
      </xdr:blipFill>
      <xdr:spPr bwMode="auto">
        <a:xfrm>
          <a:off x="5133975" y="4324350"/>
          <a:ext cx="1787004" cy="180000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28575</xdr:colOff>
      <xdr:row>57</xdr:row>
      <xdr:rowOff>19050</xdr:rowOff>
    </xdr:from>
    <xdr:to>
      <xdr:col>6</xdr:col>
      <xdr:colOff>386175</xdr:colOff>
      <xdr:row>79</xdr:row>
      <xdr:rowOff>148050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67E526-14B7-03EA-3FEF-5A7D5A480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528637</xdr:colOff>
      <xdr:row>109</xdr:row>
      <xdr:rowOff>100012</xdr:rowOff>
    </xdr:from>
    <xdr:to>
      <xdr:col>6</xdr:col>
      <xdr:colOff>276637</xdr:colOff>
      <xdr:row>132</xdr:row>
      <xdr:rowOff>38512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FA43C6-1582-1CBE-8B87-A7D84E112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109</xdr:row>
      <xdr:rowOff>0</xdr:rowOff>
    </xdr:from>
    <xdr:to>
      <xdr:col>12</xdr:col>
      <xdr:colOff>1271010</xdr:colOff>
      <xdr:row>131</xdr:row>
      <xdr:rowOff>137535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F8BAECF-12B8-8C5D-ED06-DDD3CF403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96025" y="21659850"/>
          <a:ext cx="4328535" cy="43285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49E8F-E2D6-4DC5-88AD-08B7F2656DC1}" name="Table1" displayName="Table1" ref="B12:F18" totalsRowShown="0">
  <autoFilter ref="B12:F18" xr:uid="{A0049E8F-E2D6-4DC5-88AD-08B7F2656DC1}">
    <filterColumn colId="0" hiddenButton="1"/>
    <filterColumn colId="1" hiddenButton="1"/>
    <filterColumn colId="2" hiddenButton="1"/>
    <filterColumn colId="3" hiddenButton="1"/>
    <filterColumn colId="4" hiddenButton="1"/>
  </autoFilter>
  <sortState xmlns:xlrd2="http://schemas.microsoft.com/office/spreadsheetml/2017/richdata2" ref="B13:E18">
    <sortCondition ref="E12:E18"/>
  </sortState>
  <tableColumns count="5">
    <tableColumn id="1" xr3:uid="{6FC4B193-9A7A-46E0-A1E6-DFE846B94075}" name="Material" dataDxfId="17"/>
    <tableColumn id="2" xr3:uid="{BEC5C0A0-83DE-481D-B3FA-F48B3B79691C}" name="E" dataDxfId="16"/>
    <tableColumn id="3" xr3:uid="{769DB4D1-53B1-40B2-9693-D26ADCF09B94}" name="I" dataDxfId="15" dataCellStyle="Comma"/>
    <tableColumn id="4" xr3:uid="{8BE995CD-7288-4026-AB91-B0C9DE4A7A75}" name="EI" dataDxfId="14">
      <calculatedColumnFormula>Table1[[#This Row],[I]]*Table1[[#This Row],[E]]*0.001</calculatedColumnFormula>
    </tableColumn>
    <tableColumn id="5" xr3:uid="{9A431F9A-35B1-43EE-9B26-5F4100ED09A9}" name="L-critical" dataDxfId="13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0233F6-646E-4C1D-836E-3260BAF003B5}" name="Table2" displayName="Table2" ref="C9:G14" totalsRowShown="0">
  <autoFilter ref="C9:G14" xr:uid="{D40233F6-646E-4C1D-836E-3260BAF003B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F1B7977-AC74-4C79-98DC-D9A7EA2B1AE0}" name="Type" dataDxfId="28"/>
    <tableColumn id="3" xr3:uid="{C174EFF4-4010-47B4-A509-38D276489A5B}" name="Trade Size" dataDxfId="27"/>
    <tableColumn id="4" xr3:uid="{C156E885-8F16-405E-AF4B-3840DD1674AE}" name="OD measure" dataDxfId="26"/>
    <tableColumn id="5" xr3:uid="{8A38BF51-E4E6-4450-B838-C38C23E60083}" name="ID" dataDxfId="25"/>
    <tableColumn id="6" xr3:uid="{09D60684-BC79-4211-9DB3-BB7B72C1A0F1}" name="Wall" dataDxfId="24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60A39F-2F11-4863-9C81-60AA583D0A2D}" name="Table24" displayName="Table24" ref="C46:I51" totalsRowShown="0" headerRowDxfId="23">
  <autoFilter ref="C46:I51" xr:uid="{7F60A39F-2F11-4863-9C81-60AA583D0A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C47:H51">
    <sortCondition descending="1" ref="H46:H51"/>
  </sortState>
  <tableColumns count="7">
    <tableColumn id="1" xr3:uid="{EAE69A50-AA21-4E75-BE37-EB34C6801128}" name="Type" dataDxfId="9"/>
    <tableColumn id="3" xr3:uid="{F2DA7B24-8BDA-4644-A6E3-D2940AB2AB2D}" name="Trade Size" dataDxfId="10"/>
    <tableColumn id="4" xr3:uid="{296FA959-EBAB-4FC9-9841-9884BB4712EF}" name=" E modulus (GPa)" dataDxfId="22"/>
    <tableColumn id="5" xr3:uid="{C286FD0F-991D-41D4-B42A-992743B0B119}" name="OD Diameter (mm)" dataDxfId="21"/>
    <tableColumn id="6" xr3:uid="{8F76B3D2-6328-4872-9F90-E0DFF0CA6AB3}" name="I Moment" dataDxfId="20"/>
    <tableColumn id="7" xr3:uid="{2DC0225B-BB4D-4EEB-A796-8E4CEAC29784}" name="EI flexural rigidity" dataDxfId="19">
      <calculatedColumnFormula>F47/G47</calculatedColumnFormula>
    </tableColumn>
    <tableColumn id="2" xr3:uid="{069D4E80-6B34-40DE-89B3-A8C78DF2CDCF}" name="Rigid Span" dataDxfId="18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2CD1A2-FFA4-47BD-9B6A-37DBBDCED7A0}" name="Table245" displayName="Table245" ref="C86:F91" totalsRowShown="0" headerRowDxfId="12">
  <autoFilter ref="C86:F91" xr:uid="{F42CD1A2-FFA4-47BD-9B6A-37DBBDCED7A0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C87:E91">
    <sortCondition descending="1" ref="E46:E51"/>
  </sortState>
  <tableColumns count="4">
    <tableColumn id="1" xr3:uid="{8DE36B07-7E6B-42B6-AE9B-7D200BE2E4A4}" name="Type" dataDxfId="11"/>
    <tableColumn id="4" xr3:uid="{1DC4FF30-D3DB-4984-9BB1-F02663F5E83A}" name="E, Modulus (GPa)" dataDxfId="3"/>
    <tableColumn id="7" xr3:uid="{EF9FF103-A79C-4AC0-9F9C-6A931CC64B2C}" name="UTS, Tensile strength (MPa)" dataDxfId="8">
      <calculatedColumnFormula>I87/H87</calculatedColumnFormula>
    </tableColumn>
    <tableColumn id="2" xr3:uid="{CCCCA1F2-3700-46A5-B0D1-FD174EC70D4F}" name="Standard" dataDxfId="7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E6E947-686F-43A5-A498-20CFE607D836}" name="Table246" displayName="Table246" ref="C103:G108" totalsRowShown="0" headerRowDxfId="6">
  <autoFilter ref="C103:G108" xr:uid="{15E6E947-686F-43A5-A498-20CFE607D836}">
    <filterColumn colId="0" hiddenButton="1"/>
    <filterColumn colId="1" hiddenButton="1"/>
    <filterColumn colId="2" hiddenButton="1"/>
    <filterColumn colId="3" hiddenButton="1"/>
    <filterColumn colId="4" hiddenButton="1"/>
  </autoFilter>
  <sortState xmlns:xlrd2="http://schemas.microsoft.com/office/spreadsheetml/2017/richdata2" ref="C104:H108">
    <sortCondition descending="1" ref="H46:H51"/>
  </sortState>
  <tableColumns count="5">
    <tableColumn id="1" xr3:uid="{FDE2EF1C-89A1-4F7A-AA0F-A7D411CFEFDF}" name="Type" dataDxfId="5"/>
    <tableColumn id="4" xr3:uid="{39B01DAB-327E-4B81-BE34-2F5BC20EC88F}" name="Cost" dataDxfId="4"/>
    <tableColumn id="5" xr3:uid="{05C2CD7A-8D35-4288-9ACB-81F84B69701D}" name="Length" dataDxfId="2"/>
    <tableColumn id="6" xr3:uid="{4765078B-ECA2-4B07-9CB9-A5F94971CEC5}" name="Cost Per Ft" dataDxfId="0" dataCellStyle="Currency">
      <calculatedColumnFormula>Table246[[#This Row],[Cost]]/Table246[[#This Row],[Length]]</calculatedColumnFormula>
    </tableColumn>
    <tableColumn id="2" xr3:uid="{661699F3-CE83-42DE-B1F5-FA1E37C9A400}" name="Rigid Span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www.lowes.com/pd/3-4-in-x-10-0-ft-Silver-Metallic-EMT-Conduit/5013672205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www.homedepot.com/p/Everbilt-Chain-Link-Fence-1-3-8-in-Diameter-x-10-ft-Long-17-Gauge-Thick-Galvanized-Steel-Top-Rail-Post-328913DPTEB/312373065" TargetMode="External"/><Relationship Id="rId1" Type="http://schemas.openxmlformats.org/officeDocument/2006/relationships/hyperlink" Target="https://www.lowes.com/pd/Southland-Pipe-3-4-in-x-120-in-150-PSI-Galvanized-Pipe/5003566569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www.lowes.com/pd/3-4-in-x-10-0-ft-Silver-Metallic-EMT-Conduit/5013672205" TargetMode="External"/><Relationship Id="rId10" Type="http://schemas.openxmlformats.org/officeDocument/2006/relationships/table" Target="../tables/table5.xml"/><Relationship Id="rId4" Type="http://schemas.openxmlformats.org/officeDocument/2006/relationships/hyperlink" Target="https://www.lowes.com/pd/1-2-in-x-10-0-ft-Silver-Metallic-EMT-Conduit/50338190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showGridLines="0" zoomScale="85" zoomScaleNormal="85" zoomScaleSheetLayoutView="130" workbookViewId="0">
      <selection activeCell="L56" sqref="L56"/>
    </sheetView>
  </sheetViews>
  <sheetFormatPr defaultRowHeight="15" x14ac:dyDescent="0.25"/>
  <cols>
    <col min="1" max="1" width="3" customWidth="1"/>
    <col min="2" max="2" width="18.140625" customWidth="1"/>
    <col min="3" max="3" width="10.28515625" bestFit="1" customWidth="1"/>
    <col min="4" max="4" width="14.28515625" bestFit="1" customWidth="1"/>
    <col min="5" max="5" width="11.5703125" bestFit="1" customWidth="1"/>
    <col min="6" max="6" width="12.28515625" customWidth="1"/>
    <col min="8" max="8" width="8.140625" customWidth="1"/>
    <col min="9" max="9" width="6.28515625" customWidth="1"/>
    <col min="10" max="10" width="4.42578125" customWidth="1"/>
    <col min="11" max="11" width="4.85546875" customWidth="1"/>
    <col min="12" max="12" width="26" customWidth="1"/>
    <col min="13" max="13" width="12.7109375" customWidth="1"/>
    <col min="14" max="14" width="18.28515625" customWidth="1"/>
    <col min="15" max="15" width="12.5703125" customWidth="1"/>
  </cols>
  <sheetData>
    <row r="1" spans="2:11" ht="20.25" thickBot="1" x14ac:dyDescent="0.35">
      <c r="B1" s="1" t="s">
        <v>4</v>
      </c>
      <c r="C1" s="1"/>
      <c r="D1" s="1"/>
      <c r="E1" s="1"/>
      <c r="F1" s="1"/>
      <c r="G1" s="1"/>
      <c r="H1" s="1"/>
    </row>
    <row r="2" spans="2:11" ht="15.75" thickTop="1" x14ac:dyDescent="0.25">
      <c r="B2" s="4" t="s">
        <v>0</v>
      </c>
      <c r="C2" s="7">
        <v>46230</v>
      </c>
      <c r="D2" s="4"/>
      <c r="E2" s="4"/>
      <c r="F2" s="4" t="s">
        <v>1</v>
      </c>
      <c r="G2" s="4" t="s">
        <v>2</v>
      </c>
      <c r="K2" s="4"/>
    </row>
    <row r="3" spans="2:11" x14ac:dyDescent="0.25">
      <c r="B3" s="4" t="s">
        <v>3</v>
      </c>
      <c r="C3" s="7">
        <v>46230</v>
      </c>
      <c r="D3" s="4"/>
      <c r="E3" s="4"/>
      <c r="F3" s="4"/>
      <c r="G3" s="4"/>
      <c r="H3" s="4"/>
      <c r="I3" s="4"/>
      <c r="J3" s="4"/>
      <c r="K3" s="4"/>
    </row>
    <row r="5" spans="2:11" x14ac:dyDescent="0.25">
      <c r="B5" s="4" t="s">
        <v>9</v>
      </c>
    </row>
    <row r="6" spans="2:11" x14ac:dyDescent="0.25">
      <c r="B6" s="4"/>
    </row>
    <row r="8" spans="2:11" ht="18" thickBot="1" x14ac:dyDescent="0.35">
      <c r="B8" s="2" t="s">
        <v>5</v>
      </c>
      <c r="C8" s="2"/>
      <c r="D8" s="2"/>
      <c r="E8" s="2"/>
    </row>
    <row r="9" spans="2:11" ht="15.75" thickTop="1" x14ac:dyDescent="0.25">
      <c r="B9" s="14" t="s">
        <v>32</v>
      </c>
      <c r="C9" s="14"/>
      <c r="D9" s="14"/>
      <c r="E9" s="14"/>
      <c r="F9" s="4"/>
      <c r="G9" s="4"/>
      <c r="H9" s="4"/>
    </row>
    <row r="10" spans="2:11" x14ac:dyDescent="0.25">
      <c r="B10" s="14" t="s">
        <v>22</v>
      </c>
      <c r="C10" s="14"/>
      <c r="D10" s="14"/>
      <c r="E10" s="14"/>
      <c r="F10" s="4"/>
      <c r="G10" s="4"/>
      <c r="H10" s="4"/>
    </row>
    <row r="11" spans="2:11" x14ac:dyDescent="0.25">
      <c r="B11" s="14"/>
      <c r="C11" s="14"/>
      <c r="D11" s="14"/>
      <c r="E11" s="14"/>
      <c r="F11" s="4"/>
      <c r="G11" s="4"/>
      <c r="H11" s="4"/>
    </row>
    <row r="12" spans="2:11" x14ac:dyDescent="0.25">
      <c r="B12" s="8" t="s">
        <v>6</v>
      </c>
      <c r="C12" s="5" t="s">
        <v>7</v>
      </c>
      <c r="D12" s="5" t="s">
        <v>8</v>
      </c>
      <c r="E12" t="s">
        <v>16</v>
      </c>
      <c r="F12" t="s">
        <v>19</v>
      </c>
    </row>
    <row r="13" spans="2:11" x14ac:dyDescent="0.25">
      <c r="B13" s="8" t="s">
        <v>23</v>
      </c>
      <c r="C13" s="5">
        <v>69</v>
      </c>
      <c r="D13" s="9">
        <v>7200</v>
      </c>
      <c r="E13" s="13">
        <f>Table1[[#This Row],[I]]*Table1[[#This Row],[E]]*0.001</f>
        <v>496.8</v>
      </c>
      <c r="F13" s="18">
        <v>0.78700000000000003</v>
      </c>
    </row>
    <row r="14" spans="2:11" x14ac:dyDescent="0.25">
      <c r="B14" s="8" t="s">
        <v>24</v>
      </c>
      <c r="C14" s="5">
        <v>69</v>
      </c>
      <c r="D14" s="9">
        <v>28500</v>
      </c>
      <c r="E14" s="13">
        <f>Table1[[#This Row],[I]]*Table1[[#This Row],[E]]*0.001</f>
        <v>1966.5</v>
      </c>
      <c r="F14" s="18">
        <v>1.244</v>
      </c>
    </row>
    <row r="15" spans="2:11" x14ac:dyDescent="0.25">
      <c r="B15" s="8" t="s">
        <v>20</v>
      </c>
      <c r="C15" s="5">
        <v>200</v>
      </c>
      <c r="D15" s="10">
        <v>6240</v>
      </c>
      <c r="E15" s="13">
        <f>Table1[[#This Row],[I]]*Table1[[#This Row],[E]]*0.001</f>
        <v>1248</v>
      </c>
      <c r="F15" s="18">
        <v>1.069</v>
      </c>
    </row>
    <row r="16" spans="2:11" x14ac:dyDescent="0.25">
      <c r="B16" s="8" t="s">
        <v>21</v>
      </c>
      <c r="C16" s="5">
        <v>200</v>
      </c>
      <c r="D16" s="9">
        <v>25390</v>
      </c>
      <c r="E16" s="13">
        <f>Table1[[#This Row],[I]]*Table1[[#This Row],[E]]*0.001</f>
        <v>5078</v>
      </c>
      <c r="F16" s="18">
        <v>1.7070000000000001</v>
      </c>
    </row>
    <row r="17" spans="1:6" x14ac:dyDescent="0.25">
      <c r="B17" s="8" t="s">
        <v>25</v>
      </c>
      <c r="C17" s="5">
        <v>10</v>
      </c>
      <c r="D17" s="9">
        <v>410000</v>
      </c>
      <c r="E17" s="13">
        <f>Table1[[#This Row],[I]]*Table1[[#This Row],[E]]*0.001</f>
        <v>4100</v>
      </c>
      <c r="F17" s="18">
        <v>1.589</v>
      </c>
    </row>
    <row r="18" spans="1:6" x14ac:dyDescent="0.25">
      <c r="B18" s="8" t="s">
        <v>26</v>
      </c>
      <c r="C18" s="5">
        <v>10</v>
      </c>
      <c r="D18" s="9">
        <v>2231000</v>
      </c>
      <c r="E18" s="13">
        <f>Table1[[#This Row],[I]]*Table1[[#This Row],[E]]*0.001</f>
        <v>22310</v>
      </c>
      <c r="F18" s="18">
        <v>2.7949999999999999</v>
      </c>
    </row>
    <row r="20" spans="1:6" ht="15.75" thickBot="1" x14ac:dyDescent="0.3">
      <c r="B20" s="11" t="s">
        <v>15</v>
      </c>
      <c r="C20" s="11"/>
      <c r="D20" s="11"/>
      <c r="E20" s="11"/>
    </row>
    <row r="21" spans="1:6" x14ac:dyDescent="0.25">
      <c r="B21" s="6"/>
      <c r="C21" s="12" t="s">
        <v>11</v>
      </c>
      <c r="D21" t="s">
        <v>12</v>
      </c>
    </row>
    <row r="22" spans="1:6" x14ac:dyDescent="0.25">
      <c r="B22" s="6"/>
      <c r="C22" s="12" t="s">
        <v>13</v>
      </c>
      <c r="D22" t="s">
        <v>14</v>
      </c>
    </row>
    <row r="23" spans="1:6" x14ac:dyDescent="0.25">
      <c r="C23" s="12" t="s">
        <v>17</v>
      </c>
      <c r="D23" t="s">
        <v>18</v>
      </c>
    </row>
    <row r="25" spans="1:6" ht="15.75" thickBot="1" x14ac:dyDescent="0.3">
      <c r="B25" s="11" t="s">
        <v>27</v>
      </c>
      <c r="C25" s="11"/>
      <c r="D25" s="11"/>
      <c r="E25" s="11"/>
    </row>
    <row r="26" spans="1:6" x14ac:dyDescent="0.25">
      <c r="B26" s="17" t="s">
        <v>28</v>
      </c>
      <c r="C26" s="15" t="s">
        <v>10</v>
      </c>
      <c r="D26" s="15"/>
      <c r="E26" s="15"/>
    </row>
    <row r="27" spans="1:6" x14ac:dyDescent="0.25">
      <c r="B27" s="17" t="s">
        <v>30</v>
      </c>
      <c r="C27" s="16" t="s">
        <v>31</v>
      </c>
      <c r="D27" s="15"/>
      <c r="E27" s="15"/>
    </row>
    <row r="28" spans="1:6" x14ac:dyDescent="0.25">
      <c r="B28" s="17" t="s">
        <v>29</v>
      </c>
      <c r="C28" s="15" t="s">
        <v>31</v>
      </c>
      <c r="D28" s="15"/>
      <c r="E28" s="15"/>
    </row>
    <row r="31" spans="1:6" x14ac:dyDescent="0.25">
      <c r="A31" s="3"/>
    </row>
  </sheetData>
  <conditionalFormatting sqref="E13:E18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{A79F26D1-840E-426F-8A94-F30B2F7833B6}</x14:id>
        </ext>
      </extLst>
    </cfRule>
  </conditionalFormatting>
  <conditionalFormatting sqref="F13:F1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{FDF58DA6-5C8A-4B3A-9DB4-A73A987B3DBC}</x14:id>
        </ext>
      </extLst>
    </cfRule>
  </conditionalFormatting>
  <pageMargins left="0.11811023622047245" right="0.11811023622047245" top="0.11811023622047245" bottom="0.11811023622047245" header="0.31496062992125984" footer="0.31496062992125984"/>
  <pageSetup scale="120" orientation="portrait" r:id="rId1"/>
  <rowBreaks count="1" manualBreakCount="1">
    <brk id="29" max="16383" man="1"/>
  </rowBreaks>
  <colBreaks count="1" manualBreakCount="1">
    <brk id="10" max="1048575" man="1"/>
  </colBreak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9F26D1-840E-426F-8A94-F30B2F783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E13:E18</xm:sqref>
        </x14:conditionalFormatting>
        <x14:conditionalFormatting xmlns:xm="http://schemas.microsoft.com/office/excel/2006/main">
          <x14:cfRule type="dataBar" id="{FDF58DA6-5C8A-4B3A-9DB4-A73A987B3D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F13:F18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B107-A563-4B7E-A501-A24E783AE1F4}">
  <dimension ref="B1:I108"/>
  <sheetViews>
    <sheetView showGridLines="0" tabSelected="1" topLeftCell="A96" workbookViewId="0">
      <selection activeCell="I106" sqref="I106"/>
    </sheetView>
  </sheetViews>
  <sheetFormatPr defaultRowHeight="15" x14ac:dyDescent="0.25"/>
  <cols>
    <col min="1" max="1" width="5.28515625" customWidth="1"/>
    <col min="3" max="3" width="18.140625" customWidth="1"/>
    <col min="4" max="4" width="14.5703125" customWidth="1"/>
    <col min="5" max="5" width="12.140625" customWidth="1"/>
    <col min="6" max="6" width="14.5703125" customWidth="1"/>
    <col min="7" max="7" width="10.140625" customWidth="1"/>
    <col min="8" max="8" width="10.42578125" customWidth="1"/>
    <col min="9" max="9" width="11.5703125" customWidth="1"/>
    <col min="12" max="12" width="16" customWidth="1"/>
    <col min="13" max="13" width="20.7109375" customWidth="1"/>
    <col min="14" max="14" width="23.7109375" customWidth="1"/>
    <col min="15" max="15" width="20.7109375" customWidth="1"/>
    <col min="16" max="16" width="56.5703125" customWidth="1"/>
  </cols>
  <sheetData>
    <row r="1" spans="2:9" ht="20.25" thickBot="1" x14ac:dyDescent="0.35">
      <c r="B1" s="1" t="s">
        <v>37</v>
      </c>
      <c r="C1" s="1"/>
      <c r="D1" s="1"/>
      <c r="E1" s="1"/>
      <c r="F1" s="1"/>
      <c r="G1" s="1"/>
      <c r="H1" s="1"/>
      <c r="I1" s="1"/>
    </row>
    <row r="2" spans="2:9" ht="15.75" thickTop="1" x14ac:dyDescent="0.25">
      <c r="B2" s="4" t="s">
        <v>47</v>
      </c>
      <c r="C2" s="4"/>
      <c r="D2" s="4"/>
      <c r="E2" s="4"/>
      <c r="F2" s="4"/>
      <c r="G2" s="4" t="s">
        <v>1</v>
      </c>
      <c r="H2" s="4" t="s">
        <v>2</v>
      </c>
      <c r="I2" s="4"/>
    </row>
    <row r="3" spans="2:9" x14ac:dyDescent="0.25">
      <c r="B3" s="4" t="s">
        <v>0</v>
      </c>
      <c r="C3" s="21">
        <v>46231</v>
      </c>
      <c r="D3" s="4"/>
      <c r="E3" s="4"/>
      <c r="F3" s="4"/>
      <c r="G3" s="4"/>
      <c r="H3" s="4"/>
      <c r="I3" s="4"/>
    </row>
    <row r="4" spans="2:9" x14ac:dyDescent="0.25">
      <c r="B4" s="4"/>
      <c r="C4" s="4"/>
      <c r="D4" s="4"/>
      <c r="E4" s="4"/>
      <c r="F4" s="4"/>
      <c r="G4" s="4"/>
      <c r="H4" s="4"/>
      <c r="I4" s="4"/>
    </row>
    <row r="5" spans="2:9" x14ac:dyDescent="0.25">
      <c r="B5" s="4"/>
      <c r="C5" s="4"/>
      <c r="D5" s="4"/>
      <c r="E5" s="4"/>
      <c r="F5" s="4"/>
      <c r="G5" s="4"/>
      <c r="H5" s="4"/>
      <c r="I5" s="4"/>
    </row>
    <row r="6" spans="2:9" ht="18" thickBot="1" x14ac:dyDescent="0.35">
      <c r="B6" s="2" t="s">
        <v>107</v>
      </c>
      <c r="C6" s="2"/>
      <c r="D6" s="2"/>
      <c r="E6" s="2"/>
      <c r="F6" s="2"/>
      <c r="G6" s="4"/>
      <c r="H6" s="4"/>
      <c r="I6" s="4"/>
    </row>
    <row r="7" spans="2:9" ht="15.75" thickTop="1" x14ac:dyDescent="0.25"/>
    <row r="9" spans="2:9" x14ac:dyDescent="0.25">
      <c r="C9" s="19" t="s">
        <v>33</v>
      </c>
      <c r="D9" t="s">
        <v>35</v>
      </c>
      <c r="E9" t="s">
        <v>36</v>
      </c>
      <c r="F9" s="5" t="s">
        <v>115</v>
      </c>
      <c r="G9" s="5" t="s">
        <v>116</v>
      </c>
    </row>
    <row r="10" spans="2:9" x14ac:dyDescent="0.25">
      <c r="C10" s="19" t="s">
        <v>127</v>
      </c>
      <c r="D10" s="5" t="s">
        <v>43</v>
      </c>
      <c r="E10">
        <v>33.299999999999997</v>
      </c>
      <c r="F10" s="5"/>
      <c r="G10" s="5"/>
      <c r="I10" s="5"/>
    </row>
    <row r="11" spans="2:9" x14ac:dyDescent="0.25">
      <c r="C11" s="19" t="s">
        <v>48</v>
      </c>
      <c r="D11" s="5" t="s">
        <v>34</v>
      </c>
      <c r="E11">
        <v>29.6</v>
      </c>
      <c r="F11" s="5">
        <v>26.6</v>
      </c>
      <c r="G11" s="5"/>
      <c r="I11" s="5"/>
    </row>
    <row r="12" spans="2:9" x14ac:dyDescent="0.25">
      <c r="C12" s="19" t="s">
        <v>49</v>
      </c>
      <c r="D12" s="5" t="s">
        <v>44</v>
      </c>
      <c r="E12">
        <v>23.5</v>
      </c>
      <c r="F12" s="5"/>
      <c r="G12" s="5"/>
      <c r="I12" s="5"/>
    </row>
    <row r="13" spans="2:9" x14ac:dyDescent="0.25">
      <c r="C13" s="19" t="s">
        <v>45</v>
      </c>
      <c r="D13" s="5" t="s">
        <v>46</v>
      </c>
      <c r="E13">
        <v>18</v>
      </c>
      <c r="F13" s="5"/>
      <c r="G13" s="5"/>
      <c r="I13" s="5"/>
    </row>
    <row r="14" spans="2:9" x14ac:dyDescent="0.25">
      <c r="C14" s="19" t="s">
        <v>51</v>
      </c>
      <c r="D14" s="5" t="s">
        <v>44</v>
      </c>
      <c r="E14">
        <v>26.8</v>
      </c>
      <c r="F14" s="5"/>
      <c r="G14" s="5"/>
      <c r="I14" s="5"/>
    </row>
    <row r="15" spans="2:9" x14ac:dyDescent="0.25">
      <c r="G15" s="5"/>
    </row>
    <row r="16" spans="2:9" x14ac:dyDescent="0.25">
      <c r="C16" s="39" t="s">
        <v>114</v>
      </c>
      <c r="D16" s="15"/>
      <c r="E16" s="15"/>
      <c r="F16" s="15"/>
      <c r="G16" s="15"/>
      <c r="H16" s="15"/>
      <c r="I16" s="15"/>
    </row>
    <row r="17" spans="3:9" x14ac:dyDescent="0.25">
      <c r="C17" s="15"/>
      <c r="D17" s="39" t="s">
        <v>40</v>
      </c>
      <c r="E17" s="15"/>
      <c r="F17" s="15"/>
      <c r="G17" s="15"/>
      <c r="H17" s="15"/>
      <c r="I17" s="15"/>
    </row>
    <row r="18" spans="3:9" x14ac:dyDescent="0.25">
      <c r="C18" s="15"/>
      <c r="D18" s="39" t="s">
        <v>41</v>
      </c>
      <c r="E18" s="15"/>
      <c r="F18" s="15"/>
      <c r="G18" s="15"/>
      <c r="H18" s="15"/>
      <c r="I18" s="15"/>
    </row>
    <row r="19" spans="3:9" x14ac:dyDescent="0.25">
      <c r="C19" s="15"/>
      <c r="D19" s="39" t="s">
        <v>42</v>
      </c>
      <c r="E19" s="15"/>
      <c r="F19" s="15"/>
      <c r="G19" s="15"/>
      <c r="H19" s="15"/>
      <c r="I19" s="15"/>
    </row>
    <row r="20" spans="3:9" x14ac:dyDescent="0.25">
      <c r="C20" s="15"/>
      <c r="D20" s="15"/>
      <c r="E20" s="15"/>
      <c r="F20" s="15"/>
      <c r="G20" s="15"/>
      <c r="H20" s="15"/>
      <c r="I20" s="15"/>
    </row>
    <row r="21" spans="3:9" x14ac:dyDescent="0.25">
      <c r="C21" s="32" t="s">
        <v>56</v>
      </c>
      <c r="D21" s="15"/>
      <c r="E21" s="29" t="s">
        <v>82</v>
      </c>
      <c r="F21" s="15"/>
      <c r="G21" s="15"/>
      <c r="H21" s="29" t="s">
        <v>51</v>
      </c>
      <c r="I21" s="15"/>
    </row>
    <row r="22" spans="3:9" x14ac:dyDescent="0.25">
      <c r="C22" s="15"/>
      <c r="D22" s="15"/>
      <c r="E22" s="15"/>
      <c r="F22" s="15"/>
      <c r="G22" s="15"/>
      <c r="H22" s="15" t="s">
        <v>126</v>
      </c>
      <c r="I22" s="15"/>
    </row>
    <row r="23" spans="3:9" x14ac:dyDescent="0.25">
      <c r="C23" s="15"/>
      <c r="D23" s="15"/>
      <c r="E23" s="15"/>
      <c r="F23" s="15"/>
      <c r="G23" s="15"/>
      <c r="H23" s="15"/>
      <c r="I23" s="15"/>
    </row>
    <row r="24" spans="3:9" x14ac:dyDescent="0.25">
      <c r="C24" s="15"/>
      <c r="D24" s="15"/>
      <c r="E24" s="15"/>
      <c r="F24" s="15"/>
      <c r="G24" s="15"/>
      <c r="H24" s="15"/>
      <c r="I24" s="15"/>
    </row>
    <row r="25" spans="3:9" x14ac:dyDescent="0.25">
      <c r="C25" s="15"/>
      <c r="D25" s="15"/>
      <c r="E25" s="15"/>
      <c r="F25" s="15"/>
      <c r="G25" s="15"/>
      <c r="H25" s="15"/>
      <c r="I25" s="15"/>
    </row>
    <row r="26" spans="3:9" x14ac:dyDescent="0.25">
      <c r="C26" s="15"/>
      <c r="D26" s="15"/>
      <c r="E26" s="15"/>
      <c r="F26" s="15"/>
      <c r="G26" s="15"/>
      <c r="H26" s="15"/>
      <c r="I26" s="15"/>
    </row>
    <row r="27" spans="3:9" x14ac:dyDescent="0.25">
      <c r="C27" s="15"/>
      <c r="D27" s="15"/>
      <c r="E27" s="15"/>
      <c r="F27" s="15"/>
      <c r="G27" s="15"/>
      <c r="H27" s="15"/>
      <c r="I27" s="15"/>
    </row>
    <row r="28" spans="3:9" x14ac:dyDescent="0.25">
      <c r="C28" s="15"/>
      <c r="D28" s="15"/>
      <c r="E28" s="15"/>
      <c r="F28" s="15"/>
      <c r="G28" s="15"/>
      <c r="H28" s="15"/>
      <c r="I28" s="15"/>
    </row>
    <row r="29" spans="3:9" x14ac:dyDescent="0.25">
      <c r="C29" s="15"/>
      <c r="D29" s="15"/>
      <c r="E29" s="15"/>
      <c r="F29" s="15"/>
      <c r="G29" s="15"/>
      <c r="H29" s="15"/>
      <c r="I29" s="15"/>
    </row>
    <row r="30" spans="3:9" x14ac:dyDescent="0.25">
      <c r="C30" s="15"/>
      <c r="D30" s="15"/>
      <c r="E30" s="15"/>
      <c r="F30" s="15"/>
      <c r="G30" s="15"/>
      <c r="H30" s="15"/>
      <c r="I30" s="15"/>
    </row>
    <row r="31" spans="3:9" x14ac:dyDescent="0.25">
      <c r="C31" s="15"/>
      <c r="D31" s="15"/>
      <c r="E31" s="15"/>
      <c r="F31" s="15"/>
      <c r="G31" s="15"/>
      <c r="H31" s="15"/>
      <c r="I31" s="15"/>
    </row>
    <row r="32" spans="3:9" x14ac:dyDescent="0.25">
      <c r="C32" s="15"/>
      <c r="D32" s="15"/>
      <c r="E32" s="15"/>
      <c r="F32" s="15"/>
      <c r="G32" s="15"/>
      <c r="H32" s="15"/>
      <c r="I32" s="15"/>
    </row>
    <row r="35" spans="2:9" x14ac:dyDescent="0.25">
      <c r="C35" s="29" t="s">
        <v>70</v>
      </c>
      <c r="D35" s="15"/>
      <c r="E35" s="15"/>
      <c r="F35" s="15"/>
    </row>
    <row r="36" spans="2:9" x14ac:dyDescent="0.25">
      <c r="C36" s="15" t="s">
        <v>71</v>
      </c>
      <c r="D36" s="15"/>
      <c r="E36" s="31" t="s">
        <v>129</v>
      </c>
      <c r="F36" s="15"/>
    </row>
    <row r="37" spans="2:9" x14ac:dyDescent="0.25">
      <c r="C37" s="15" t="s">
        <v>79</v>
      </c>
      <c r="D37" s="15"/>
      <c r="E37" s="31" t="s">
        <v>83</v>
      </c>
      <c r="F37" s="15"/>
    </row>
    <row r="38" spans="2:9" x14ac:dyDescent="0.25">
      <c r="C38" s="15" t="s">
        <v>80</v>
      </c>
      <c r="D38" s="15"/>
      <c r="E38" s="31" t="s">
        <v>81</v>
      </c>
      <c r="F38" s="15"/>
    </row>
    <row r="39" spans="2:9" x14ac:dyDescent="0.25">
      <c r="C39" s="15" t="s">
        <v>103</v>
      </c>
      <c r="D39" s="15"/>
      <c r="E39" s="31" t="s">
        <v>106</v>
      </c>
      <c r="F39" s="15"/>
    </row>
    <row r="40" spans="2:9" x14ac:dyDescent="0.25">
      <c r="C40" s="15" t="s">
        <v>104</v>
      </c>
      <c r="D40" s="15"/>
      <c r="E40" s="31" t="s">
        <v>105</v>
      </c>
      <c r="F40" s="15"/>
    </row>
    <row r="41" spans="2:9" x14ac:dyDescent="0.25">
      <c r="E41" s="24"/>
    </row>
    <row r="42" spans="2:9" ht="18" thickBot="1" x14ac:dyDescent="0.35">
      <c r="B42" s="2" t="s">
        <v>108</v>
      </c>
      <c r="C42" s="2"/>
      <c r="D42" s="2"/>
      <c r="E42" s="2"/>
    </row>
    <row r="43" spans="2:9" ht="15.75" thickTop="1" x14ac:dyDescent="0.25">
      <c r="B43" s="4" t="s">
        <v>72</v>
      </c>
      <c r="C43" s="4"/>
      <c r="D43" s="4"/>
      <c r="E43" s="4"/>
      <c r="F43" s="4"/>
      <c r="G43" s="4"/>
      <c r="H43" s="4"/>
      <c r="I43" s="4"/>
    </row>
    <row r="44" spans="2:9" x14ac:dyDescent="0.25">
      <c r="B44" s="4" t="s">
        <v>75</v>
      </c>
      <c r="C44" s="4"/>
      <c r="D44" s="4"/>
      <c r="E44" s="4"/>
      <c r="F44" s="4"/>
      <c r="G44" s="4"/>
      <c r="H44" s="4"/>
      <c r="I44" s="4"/>
    </row>
    <row r="45" spans="2:9" x14ac:dyDescent="0.25">
      <c r="B45" s="4"/>
      <c r="C45" s="4"/>
      <c r="D45" s="4"/>
      <c r="E45" s="4"/>
      <c r="F45" s="4"/>
      <c r="G45" s="4"/>
      <c r="H45" s="4"/>
      <c r="I45" s="4"/>
    </row>
    <row r="46" spans="2:9" ht="30.75" customHeight="1" x14ac:dyDescent="0.25">
      <c r="C46" s="28" t="s">
        <v>33</v>
      </c>
      <c r="D46" s="27" t="s">
        <v>35</v>
      </c>
      <c r="E46" s="27" t="s">
        <v>85</v>
      </c>
      <c r="F46" s="27" t="s">
        <v>99</v>
      </c>
      <c r="G46" s="27" t="s">
        <v>86</v>
      </c>
      <c r="H46" s="27" t="s">
        <v>73</v>
      </c>
      <c r="I46" s="27" t="s">
        <v>74</v>
      </c>
    </row>
    <row r="47" spans="2:9" x14ac:dyDescent="0.25">
      <c r="C47" s="34" t="s">
        <v>88</v>
      </c>
      <c r="D47" s="5" t="s">
        <v>43</v>
      </c>
      <c r="E47" s="5">
        <v>200</v>
      </c>
      <c r="F47" s="5">
        <v>34.9</v>
      </c>
      <c r="G47" s="25">
        <v>18.8</v>
      </c>
      <c r="H47" s="26">
        <f>Table24[[#This Row],[I Moment]]*Table24[[#This Row],[ E modulus (GPa)]]</f>
        <v>3760</v>
      </c>
      <c r="I47" s="5">
        <v>1.54</v>
      </c>
    </row>
    <row r="48" spans="2:9" x14ac:dyDescent="0.25">
      <c r="C48" s="43" t="s">
        <v>128</v>
      </c>
      <c r="D48" s="5" t="s">
        <v>44</v>
      </c>
      <c r="E48" s="5">
        <v>200</v>
      </c>
      <c r="F48" s="5">
        <v>26.7</v>
      </c>
      <c r="G48" s="25">
        <v>15.4</v>
      </c>
      <c r="H48" s="26">
        <v>3080</v>
      </c>
      <c r="I48" s="5">
        <v>1.44</v>
      </c>
    </row>
    <row r="49" spans="3:9" x14ac:dyDescent="0.25">
      <c r="C49" s="33" t="s">
        <v>48</v>
      </c>
      <c r="D49" s="5" t="s">
        <v>34</v>
      </c>
      <c r="E49" s="5">
        <v>200</v>
      </c>
      <c r="F49" s="5">
        <v>29.5</v>
      </c>
      <c r="G49" s="25">
        <v>12.6</v>
      </c>
      <c r="H49" s="26">
        <v>2522</v>
      </c>
      <c r="I49" s="5">
        <v>1.35</v>
      </c>
    </row>
    <row r="50" spans="3:9" x14ac:dyDescent="0.25">
      <c r="C50" s="33" t="s">
        <v>49</v>
      </c>
      <c r="D50" s="5" t="s">
        <v>44</v>
      </c>
      <c r="E50" s="5">
        <v>200</v>
      </c>
      <c r="F50" s="5">
        <v>23.4</v>
      </c>
      <c r="G50" s="25">
        <v>5.4</v>
      </c>
      <c r="H50" s="26">
        <v>1074</v>
      </c>
      <c r="I50" s="5">
        <v>1.02</v>
      </c>
    </row>
    <row r="51" spans="3:9" x14ac:dyDescent="0.25">
      <c r="C51" s="33" t="s">
        <v>45</v>
      </c>
      <c r="D51" s="5" t="s">
        <v>46</v>
      </c>
      <c r="E51" s="5">
        <v>200</v>
      </c>
      <c r="F51" s="5">
        <v>17.899999999999999</v>
      </c>
      <c r="G51" s="25">
        <v>2</v>
      </c>
      <c r="H51" s="26">
        <v>399</v>
      </c>
      <c r="I51" s="5">
        <v>0.73</v>
      </c>
    </row>
    <row r="53" spans="3:9" x14ac:dyDescent="0.25">
      <c r="C53" s="15"/>
      <c r="D53" s="32" t="s">
        <v>78</v>
      </c>
      <c r="E53" s="29" t="s">
        <v>77</v>
      </c>
    </row>
    <row r="54" spans="3:9" x14ac:dyDescent="0.25">
      <c r="C54" s="15"/>
      <c r="D54" s="30" t="s">
        <v>76</v>
      </c>
      <c r="E54" s="15" t="s">
        <v>90</v>
      </c>
    </row>
    <row r="55" spans="3:9" x14ac:dyDescent="0.25">
      <c r="C55" s="15"/>
      <c r="D55" s="30" t="s">
        <v>111</v>
      </c>
      <c r="E55" s="15" t="s">
        <v>91</v>
      </c>
    </row>
    <row r="56" spans="3:9" x14ac:dyDescent="0.25">
      <c r="C56" s="15"/>
      <c r="D56" s="30" t="s">
        <v>109</v>
      </c>
      <c r="E56" s="15" t="s">
        <v>110</v>
      </c>
    </row>
    <row r="83" spans="2:9" ht="18" thickBot="1" x14ac:dyDescent="0.35">
      <c r="B83" s="2" t="s">
        <v>112</v>
      </c>
      <c r="C83" s="2"/>
      <c r="D83" s="2"/>
      <c r="E83" s="2"/>
    </row>
    <row r="84" spans="2:9" ht="15.75" thickTop="1" x14ac:dyDescent="0.25">
      <c r="B84" s="4" t="s">
        <v>113</v>
      </c>
      <c r="C84" s="4"/>
      <c r="D84" s="4"/>
      <c r="E84" s="4"/>
    </row>
    <row r="86" spans="2:9" ht="45" x14ac:dyDescent="0.25">
      <c r="C86" s="28" t="s">
        <v>33</v>
      </c>
      <c r="D86" s="27" t="s">
        <v>100</v>
      </c>
      <c r="E86" s="27" t="s">
        <v>87</v>
      </c>
      <c r="F86" s="35" t="s">
        <v>98</v>
      </c>
      <c r="G86" s="27"/>
      <c r="H86" s="27"/>
      <c r="I86" s="27"/>
    </row>
    <row r="87" spans="2:9" x14ac:dyDescent="0.25">
      <c r="C87" s="19" t="s">
        <v>50</v>
      </c>
      <c r="D87" s="38">
        <v>200</v>
      </c>
      <c r="E87" s="26">
        <v>345</v>
      </c>
      <c r="F87" s="36" t="s">
        <v>96</v>
      </c>
      <c r="G87" s="5"/>
      <c r="H87" s="25"/>
      <c r="I87" s="5"/>
    </row>
    <row r="88" spans="2:9" x14ac:dyDescent="0.25">
      <c r="C88" s="19" t="s">
        <v>84</v>
      </c>
      <c r="D88" s="38">
        <v>200</v>
      </c>
      <c r="E88" s="26">
        <v>400</v>
      </c>
      <c r="F88" s="36" t="s">
        <v>95</v>
      </c>
      <c r="G88" s="5"/>
      <c r="H88" s="25"/>
      <c r="I88" s="5"/>
    </row>
    <row r="89" spans="2:9" x14ac:dyDescent="0.25">
      <c r="C89" s="19" t="s">
        <v>48</v>
      </c>
      <c r="D89" s="38">
        <v>200</v>
      </c>
      <c r="E89" s="26">
        <v>310</v>
      </c>
      <c r="F89" s="36" t="s">
        <v>97</v>
      </c>
      <c r="G89" s="5"/>
      <c r="H89" s="25"/>
      <c r="I89" s="5"/>
    </row>
    <row r="90" spans="2:9" x14ac:dyDescent="0.25">
      <c r="C90" s="19" t="s">
        <v>49</v>
      </c>
      <c r="D90" s="38">
        <v>200</v>
      </c>
      <c r="E90" s="26">
        <v>310</v>
      </c>
      <c r="F90" s="36" t="s">
        <v>97</v>
      </c>
      <c r="G90" s="5"/>
      <c r="H90" s="25"/>
      <c r="I90" s="5"/>
    </row>
    <row r="91" spans="2:9" x14ac:dyDescent="0.25">
      <c r="C91" s="19" t="s">
        <v>45</v>
      </c>
      <c r="D91" s="38">
        <v>200</v>
      </c>
      <c r="E91" s="26">
        <v>310</v>
      </c>
      <c r="F91" s="36" t="s">
        <v>97</v>
      </c>
      <c r="G91" s="5"/>
      <c r="H91" s="25"/>
      <c r="I91" s="5"/>
    </row>
    <row r="94" spans="2:9" ht="18" thickBot="1" x14ac:dyDescent="0.35">
      <c r="C94" s="2" t="s">
        <v>92</v>
      </c>
      <c r="D94" s="2"/>
      <c r="E94" s="2"/>
      <c r="F94" s="2"/>
    </row>
    <row r="95" spans="2:9" ht="15.75" thickTop="1" x14ac:dyDescent="0.25">
      <c r="C95" s="37" t="s">
        <v>93</v>
      </c>
      <c r="D95" s="4" t="s">
        <v>94</v>
      </c>
      <c r="E95" s="4"/>
      <c r="F95" s="4"/>
      <c r="G95" s="4"/>
      <c r="H95" s="4"/>
      <c r="I95" s="4"/>
    </row>
    <row r="96" spans="2:9" x14ac:dyDescent="0.25">
      <c r="C96" s="4"/>
      <c r="D96" s="4"/>
      <c r="E96" s="4"/>
      <c r="F96" s="4"/>
      <c r="G96" s="4"/>
      <c r="H96" s="4"/>
      <c r="I96" s="4"/>
    </row>
    <row r="97" spans="2:9" x14ac:dyDescent="0.25">
      <c r="C97" s="4"/>
      <c r="D97" s="4"/>
      <c r="E97" s="4"/>
      <c r="F97" s="4"/>
      <c r="G97" s="4"/>
      <c r="H97" s="4"/>
      <c r="I97" s="4"/>
    </row>
    <row r="98" spans="2:9" x14ac:dyDescent="0.25">
      <c r="C98" s="4"/>
      <c r="D98" s="4"/>
      <c r="E98" s="4"/>
      <c r="F98" s="4"/>
      <c r="G98" s="4"/>
      <c r="H98" s="4"/>
      <c r="I98" s="4"/>
    </row>
    <row r="99" spans="2:9" x14ac:dyDescent="0.25">
      <c r="C99" s="4"/>
      <c r="D99" s="4"/>
      <c r="E99" s="4"/>
      <c r="F99" s="4"/>
      <c r="G99" s="4"/>
      <c r="H99" s="4"/>
      <c r="I99" s="4"/>
    </row>
    <row r="100" spans="2:9" ht="18" thickBot="1" x14ac:dyDescent="0.35">
      <c r="B100" s="2" t="s">
        <v>101</v>
      </c>
      <c r="C100" s="2"/>
      <c r="D100" s="2"/>
      <c r="E100" s="2"/>
      <c r="F100" s="2"/>
      <c r="G100" s="4"/>
      <c r="H100" s="4"/>
      <c r="I100" s="4"/>
    </row>
    <row r="101" spans="2:9" ht="15.75" thickTop="1" x14ac:dyDescent="0.25">
      <c r="B101" s="4" t="s">
        <v>102</v>
      </c>
    </row>
    <row r="103" spans="2:9" x14ac:dyDescent="0.25">
      <c r="C103" s="28" t="s">
        <v>33</v>
      </c>
      <c r="D103" s="27" t="s">
        <v>38</v>
      </c>
      <c r="E103" s="27" t="s">
        <v>39</v>
      </c>
      <c r="F103" s="27" t="s">
        <v>117</v>
      </c>
      <c r="G103" s="27" t="s">
        <v>74</v>
      </c>
      <c r="H103" s="27"/>
      <c r="I103" s="27"/>
    </row>
    <row r="104" spans="2:9" x14ac:dyDescent="0.25">
      <c r="C104" s="34" t="s">
        <v>88</v>
      </c>
      <c r="D104" s="5">
        <v>26.28</v>
      </c>
      <c r="E104" s="5">
        <v>10.5</v>
      </c>
      <c r="F104" s="42">
        <f>Table246[[#This Row],[Cost]]/Table246[[#This Row],[Length]]</f>
        <v>2.5028571428571431</v>
      </c>
      <c r="G104" s="5">
        <v>1.54</v>
      </c>
      <c r="H104" s="5"/>
      <c r="I104" s="26"/>
    </row>
    <row r="105" spans="2:9" x14ac:dyDescent="0.25">
      <c r="C105" s="34" t="s">
        <v>89</v>
      </c>
      <c r="D105" s="5">
        <v>44.1</v>
      </c>
      <c r="E105" s="5">
        <v>10</v>
      </c>
      <c r="F105" s="42">
        <f>Table246[[#This Row],[Cost]]/Table246[[#This Row],[Length]]</f>
        <v>4.41</v>
      </c>
      <c r="G105" s="5">
        <v>1.44</v>
      </c>
      <c r="H105" s="5"/>
      <c r="I105" s="26"/>
    </row>
    <row r="106" spans="2:9" x14ac:dyDescent="0.25">
      <c r="C106" s="33" t="s">
        <v>48</v>
      </c>
      <c r="D106" s="5">
        <v>17.98</v>
      </c>
      <c r="E106" s="5">
        <v>10</v>
      </c>
      <c r="F106" s="42">
        <f>Table246[[#This Row],[Cost]]/Table246[[#This Row],[Length]]</f>
        <v>1.798</v>
      </c>
      <c r="G106" s="5">
        <v>1.35</v>
      </c>
      <c r="H106" s="5"/>
      <c r="I106" s="26"/>
    </row>
    <row r="107" spans="2:9" x14ac:dyDescent="0.25">
      <c r="C107" s="33" t="s">
        <v>49</v>
      </c>
      <c r="D107" s="5">
        <v>9.98</v>
      </c>
      <c r="E107" s="5">
        <v>10</v>
      </c>
      <c r="F107" s="42">
        <f>Table246[[#This Row],[Cost]]/Table246[[#This Row],[Length]]</f>
        <v>0.998</v>
      </c>
      <c r="G107" s="5">
        <v>1.02</v>
      </c>
      <c r="H107" s="5"/>
      <c r="I107" s="26"/>
    </row>
    <row r="108" spans="2:9" x14ac:dyDescent="0.25">
      <c r="C108" s="33" t="s">
        <v>45</v>
      </c>
      <c r="D108" s="5">
        <v>5.81</v>
      </c>
      <c r="E108" s="5">
        <v>10</v>
      </c>
      <c r="F108" s="42">
        <f>Table246[[#This Row],[Cost]]/Table246[[#This Row],[Length]]</f>
        <v>0.58099999999999996</v>
      </c>
      <c r="G108" s="5">
        <v>0.73</v>
      </c>
      <c r="H108" s="5"/>
      <c r="I108" s="26"/>
    </row>
  </sheetData>
  <conditionalFormatting sqref="E10:E13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{5EA54202-565F-4C89-815C-856806596A61}</x14:id>
        </ext>
      </extLst>
    </cfRule>
  </conditionalFormatting>
  <conditionalFormatting sqref="E10:E14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{ED543DAD-DF3F-41E8-8E9A-8293307D22FA}</x14:id>
        </ext>
      </extLst>
    </cfRule>
  </conditionalFormatting>
  <conditionalFormatting sqref="H47:H51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{F6FDB05F-D3C7-486F-9430-C7B5C93E888A}</x14:id>
        </ext>
      </extLst>
    </cfRule>
  </conditionalFormatting>
  <conditionalFormatting sqref="I47:I51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{EADE132D-C862-4F78-8C52-6EEDB373CD8E}</x14:id>
        </ext>
      </extLst>
    </cfRule>
  </conditionalFormatting>
  <conditionalFormatting sqref="E87:E91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{7A27F0E1-96BF-4379-898D-1C568980C9FC}</x14:id>
        </ext>
      </extLst>
    </cfRule>
  </conditionalFormatting>
  <conditionalFormatting sqref="F89:F91 F87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{098B6BA3-6A52-4859-B372-9105EB8F248B}</x14:id>
        </ext>
      </extLst>
    </cfRule>
  </conditionalFormatting>
  <conditionalFormatting sqref="I104:I108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{E2A4B88A-5C6A-4D05-BDE3-DA23778561B8}</x14:id>
        </ext>
      </extLst>
    </cfRule>
  </conditionalFormatting>
  <conditionalFormatting sqref="G104:G108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{E78A5BDE-BA30-4C68-8AF3-255CEAF1EA6E}</x14:id>
        </ext>
      </extLst>
    </cfRule>
  </conditionalFormatting>
  <conditionalFormatting sqref="F104:F10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{641E8D1B-6887-411D-9D3A-875692318604}</x14:id>
        </ext>
      </extLst>
    </cfRule>
  </conditionalFormatting>
  <hyperlinks>
    <hyperlink ref="E36" r:id="rId1" display="Southland 3/4 Black Steel Pipe 10ft" xr:uid="{506EF72C-D1DA-4659-9F53-F08989B150D1}"/>
    <hyperlink ref="E38" r:id="rId2" xr:uid="{CEA8A7C9-9C20-4403-840F-B608BD4DA4AB}"/>
    <hyperlink ref="E37" r:id="rId3" xr:uid="{94F6CA3A-A648-4F01-A586-45C137EB9D18}"/>
    <hyperlink ref="E40" r:id="rId4" xr:uid="{A113314D-D01C-493C-9605-BADFA56B4FEC}"/>
    <hyperlink ref="E39" r:id="rId5" xr:uid="{38795B53-64C6-47A0-A26D-4EDB9BD792E3}"/>
  </hyperlinks>
  <pageMargins left="0.7" right="0.7" top="0.75" bottom="0.75" header="0.3" footer="0.3"/>
  <drawing r:id="rId6"/>
  <tableParts count="4">
    <tablePart r:id="rId7"/>
    <tablePart r:id="rId8"/>
    <tablePart r:id="rId9"/>
    <tablePart r:id="rId10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A54202-565F-4C89-815C-856806596A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E10:E13</xm:sqref>
        </x14:conditionalFormatting>
        <x14:conditionalFormatting xmlns:xm="http://schemas.microsoft.com/office/excel/2006/main">
          <x14:cfRule type="dataBar" id="{ED543DAD-DF3F-41E8-8E9A-8293307D22F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E10:E14</xm:sqref>
        </x14:conditionalFormatting>
        <x14:conditionalFormatting xmlns:xm="http://schemas.microsoft.com/office/excel/2006/main">
          <x14:cfRule type="dataBar" id="{F6FDB05F-D3C7-486F-9430-C7B5C93E88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H47:H51</xm:sqref>
        </x14:conditionalFormatting>
        <x14:conditionalFormatting xmlns:xm="http://schemas.microsoft.com/office/excel/2006/main">
          <x14:cfRule type="dataBar" id="{EADE132D-C862-4F78-8C52-6EEDB373CD8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I47:I51</xm:sqref>
        </x14:conditionalFormatting>
        <x14:conditionalFormatting xmlns:xm="http://schemas.microsoft.com/office/excel/2006/main">
          <x14:cfRule type="dataBar" id="{7A27F0E1-96BF-4379-898D-1C568980C9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E87:E91</xm:sqref>
        </x14:conditionalFormatting>
        <x14:conditionalFormatting xmlns:xm="http://schemas.microsoft.com/office/excel/2006/main">
          <x14:cfRule type="dataBar" id="{098B6BA3-6A52-4859-B372-9105EB8F248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F89:F91 F87</xm:sqref>
        </x14:conditionalFormatting>
        <x14:conditionalFormatting xmlns:xm="http://schemas.microsoft.com/office/excel/2006/main">
          <x14:cfRule type="dataBar" id="{E2A4B88A-5C6A-4D05-BDE3-DA23778561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I104:I108</xm:sqref>
        </x14:conditionalFormatting>
        <x14:conditionalFormatting xmlns:xm="http://schemas.microsoft.com/office/excel/2006/main">
          <x14:cfRule type="dataBar" id="{E78A5BDE-BA30-4C68-8AF3-255CEAF1EA6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G104:G108</xm:sqref>
        </x14:conditionalFormatting>
        <x14:conditionalFormatting xmlns:xm="http://schemas.microsoft.com/office/excel/2006/main">
          <x14:cfRule type="dataBar" id="{641E8D1B-6887-411D-9D3A-875692318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F104:F108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99F1-8D93-4BFE-A85C-21816F23754E}">
  <dimension ref="E14:I20"/>
  <sheetViews>
    <sheetView workbookViewId="0">
      <selection activeCell="C24" sqref="C24"/>
    </sheetView>
  </sheetViews>
  <sheetFormatPr defaultRowHeight="15" x14ac:dyDescent="0.25"/>
  <cols>
    <col min="5" max="5" width="24.85546875" customWidth="1"/>
  </cols>
  <sheetData>
    <row r="14" spans="5:9" ht="15.75" thickBot="1" x14ac:dyDescent="0.3"/>
    <row r="15" spans="5:9" ht="30.75" thickBot="1" x14ac:dyDescent="0.3">
      <c r="E15" s="40" t="s">
        <v>33</v>
      </c>
      <c r="F15" s="40" t="s">
        <v>35</v>
      </c>
      <c r="G15" s="40" t="s">
        <v>118</v>
      </c>
      <c r="H15" s="40" t="s">
        <v>119</v>
      </c>
      <c r="I15" s="40" t="s">
        <v>120</v>
      </c>
    </row>
    <row r="16" spans="5:9" ht="15.75" thickBot="1" x14ac:dyDescent="0.3">
      <c r="E16" s="40" t="s">
        <v>121</v>
      </c>
      <c r="F16" s="41" t="s">
        <v>43</v>
      </c>
      <c r="G16" s="41">
        <v>34.9</v>
      </c>
      <c r="H16" s="41">
        <v>31.6</v>
      </c>
      <c r="I16" s="41">
        <v>1.65</v>
      </c>
    </row>
    <row r="17" spans="5:9" ht="15.75" thickBot="1" x14ac:dyDescent="0.3">
      <c r="E17" s="40" t="s">
        <v>122</v>
      </c>
      <c r="F17" s="41" t="s">
        <v>123</v>
      </c>
      <c r="G17" s="41">
        <v>29.5</v>
      </c>
      <c r="H17" s="41">
        <v>26.6</v>
      </c>
      <c r="I17" s="41">
        <v>1.45</v>
      </c>
    </row>
    <row r="18" spans="5:9" ht="15.75" thickBot="1" x14ac:dyDescent="0.3">
      <c r="E18" s="40" t="s">
        <v>122</v>
      </c>
      <c r="F18" s="41" t="s">
        <v>44</v>
      </c>
      <c r="G18" s="41">
        <v>23.4</v>
      </c>
      <c r="H18" s="41">
        <v>20.9</v>
      </c>
      <c r="I18" s="41">
        <v>1.24</v>
      </c>
    </row>
    <row r="19" spans="5:9" ht="15.75" thickBot="1" x14ac:dyDescent="0.3">
      <c r="E19" s="40" t="s">
        <v>122</v>
      </c>
      <c r="F19" s="41" t="s">
        <v>124</v>
      </c>
      <c r="G19" s="41">
        <v>17.899999999999999</v>
      </c>
      <c r="H19" s="41">
        <v>15.8</v>
      </c>
      <c r="I19" s="41">
        <v>1.07</v>
      </c>
    </row>
    <row r="20" spans="5:9" ht="30.75" thickBot="1" x14ac:dyDescent="0.3">
      <c r="E20" s="40" t="s">
        <v>125</v>
      </c>
      <c r="F20" s="41" t="s">
        <v>44</v>
      </c>
      <c r="G20" s="41">
        <v>26.7</v>
      </c>
      <c r="H20" s="41">
        <v>20.9</v>
      </c>
      <c r="I20" s="41">
        <v>2.87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B198-B7E9-4A5F-841E-6CE2AF32009B}">
  <dimension ref="C4:G11"/>
  <sheetViews>
    <sheetView showGridLines="0" workbookViewId="0">
      <selection activeCell="C6" sqref="C6"/>
    </sheetView>
  </sheetViews>
  <sheetFormatPr defaultRowHeight="15" x14ac:dyDescent="0.25"/>
  <cols>
    <col min="3" max="3" width="12.7109375" customWidth="1"/>
    <col min="4" max="4" width="16.7109375" customWidth="1"/>
    <col min="5" max="5" width="13.85546875" customWidth="1"/>
    <col min="6" max="6" width="35.85546875" customWidth="1"/>
    <col min="7" max="7" width="46.5703125" customWidth="1"/>
  </cols>
  <sheetData>
    <row r="4" spans="3:7" x14ac:dyDescent="0.25">
      <c r="C4" t="s">
        <v>68</v>
      </c>
    </row>
    <row r="5" spans="3:7" x14ac:dyDescent="0.25">
      <c r="C5" t="s">
        <v>69</v>
      </c>
      <c r="D5" s="20">
        <v>46231</v>
      </c>
    </row>
    <row r="7" spans="3:7" ht="15.75" thickBot="1" x14ac:dyDescent="0.3"/>
    <row r="8" spans="3:7" ht="39" thickBot="1" x14ac:dyDescent="0.3">
      <c r="C8" s="22" t="s">
        <v>6</v>
      </c>
      <c r="D8" s="22" t="s">
        <v>52</v>
      </c>
      <c r="E8" s="22" t="s">
        <v>53</v>
      </c>
      <c r="F8" s="22" t="s">
        <v>54</v>
      </c>
      <c r="G8" s="22" t="s">
        <v>55</v>
      </c>
    </row>
    <row r="9" spans="3:7" ht="26.25" thickBot="1" x14ac:dyDescent="0.3">
      <c r="C9" s="22" t="s">
        <v>56</v>
      </c>
      <c r="D9" s="23" t="s">
        <v>57</v>
      </c>
      <c r="E9" s="23" t="s">
        <v>58</v>
      </c>
      <c r="F9" s="23" t="s">
        <v>59</v>
      </c>
      <c r="G9" s="23" t="s">
        <v>60</v>
      </c>
    </row>
    <row r="10" spans="3:7" ht="39" thickBot="1" x14ac:dyDescent="0.3">
      <c r="C10" s="22" t="s">
        <v>50</v>
      </c>
      <c r="D10" s="23" t="s">
        <v>61</v>
      </c>
      <c r="E10" s="23" t="s">
        <v>58</v>
      </c>
      <c r="F10" s="23" t="s">
        <v>62</v>
      </c>
      <c r="G10" s="23" t="s">
        <v>63</v>
      </c>
    </row>
    <row r="11" spans="3:7" ht="51.75" thickBot="1" x14ac:dyDescent="0.3">
      <c r="C11" s="22" t="s">
        <v>64</v>
      </c>
      <c r="D11" s="23" t="s">
        <v>65</v>
      </c>
      <c r="E11" s="23" t="s">
        <v>58</v>
      </c>
      <c r="F11" s="23" t="s">
        <v>66</v>
      </c>
      <c r="G11" s="2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bending</vt:lpstr>
      <vt:lpstr>roundSteel</vt:lpstr>
      <vt:lpstr>Sheet1</vt:lpstr>
      <vt:lpstr>yieldStren</vt:lpstr>
      <vt:lpstr>bending!Print_Area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Beam Materials Data</dc:title>
  <dc:creator>David Malawey</dc:creator>
  <cp:keywords>bending; rigidity; beam; materials; data; fence; post; round; steel; stock; comparison</cp:keywords>
  <cp:lastModifiedBy>David Malawey</cp:lastModifiedBy>
  <cp:lastPrinted>2026-07-21T17:02:13Z</cp:lastPrinted>
  <dcterms:created xsi:type="dcterms:W3CDTF">2015-06-05T18:17:20Z</dcterms:created>
  <dcterms:modified xsi:type="dcterms:W3CDTF">2026-08-01T16:21:38Z</dcterms:modified>
</cp:coreProperties>
</file>